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3700d10c314e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s" sheetId="1" r:id="Ref300bc408cb4df3"/>
    <x:sheet xmlns:r="http://schemas.openxmlformats.org/officeDocument/2006/relationships" name="Studies" sheetId="2" r:id="R4eacfab14b8c4809"/>
    <x:sheet xmlns:r="http://schemas.openxmlformats.org/officeDocument/2006/relationships" name="Claims" sheetId="3" r:id="Rd5e76df7df7e4973"/>
    <x:sheet xmlns:r="http://schemas.openxmlformats.org/officeDocument/2006/relationships" name="Appraisals" sheetId="4" r:id="R020f194ab37d4192"/>
    <x:sheet xmlns:r="http://schemas.openxmlformats.org/officeDocument/2006/relationships" name="Overview" sheetId="5" r:id="R9da1671b6f5245d2"/>
    <x:sheet xmlns:r="http://schemas.openxmlformats.org/officeDocument/2006/relationships" name="Claim Preview" sheetId="6" r:id="Rc4568ce469af46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0">
    <x:font>
      <x:sz val="11"/>
      <x:name val="Carlito"/>
    </x:font>
    <x:font>
      <x:b/>
      <x:sz val="10"/>
      <x:color rgb="FFFFFFFF"/>
      <x:name val="Carlito"/>
    </x:font>
    <x:font>
      <x:b/>
      <x:sz val="9"/>
      <x:color rgb="FF17233A"/>
      <x:name val="Aptos"/>
    </x:font>
    <x:font>
      <x:sz val="9"/>
      <x:color rgb="FF17233A"/>
      <x:name val="Aptos"/>
    </x:font>
    <x:font>
      <x:b/>
      <x:sz val="22"/>
      <x:color rgb="FFFFFFFF"/>
      <x:name val="Aptos Display"/>
    </x:font>
    <x:font>
      <x:sz val="10"/>
      <x:color rgb="FF10213D"/>
      <x:name val="Aptos"/>
    </x:font>
    <x:font>
      <x:b/>
      <x:sz val="11"/>
      <x:color rgb="FFFFFFFF"/>
      <x:name val="Carlito"/>
    </x:font>
    <x:font>
      <x:b/>
      <x:sz val="11"/>
      <x:color rgb="FF10213D"/>
      <x:name val="Carlito"/>
    </x:font>
    <x:font>
      <x:b/>
      <x:sz val="14"/>
      <x:color rgb="FF0F9D8A"/>
      <x:name val="Carlito"/>
    </x:font>
    <x:font>
      <x:b/>
      <x:sz val="11"/>
      <x:color rgb="FF8A4D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0213D"/>
      </x:patternFill>
    </x:fill>
    <x:fill>
      <x:patternFill patternType="solid">
        <x:fgColor rgb="FFDCE8F7"/>
      </x:patternFill>
    </x:fill>
    <x:fill>
      <x:patternFill patternType="solid">
        <x:fgColor rgb="FF2F65D9"/>
      </x:patternFill>
    </x:fill>
    <x:fill>
      <x:patternFill patternType="solid">
        <x:fgColor rgb="FFEDF3FA"/>
      </x:patternFill>
    </x:fill>
    <x:fill>
      <x:patternFill patternType="solid">
        <x:fgColor rgb="FFFFFFFF"/>
      </x:patternFill>
    </x:fill>
    <x:fill>
      <x:patternFill patternType="solid">
        <x:fgColor rgb="FFF7FAFD"/>
      </x:patternFill>
    </x:fill>
    <x:fill>
      <x:patternFill patternType="solid">
        <x:fgColor rgb="FFFFF2D6"/>
      </x:patternFill>
    </x:fill>
  </x:fills>
  <x:borders count="30">
    <x:border/>
    <x:border/>
    <x:border>
      <x:right style="thin">
        <x:color rgb="FF4C6382"/>
      </x:right>
    </x:border>
    <x:border>
      <x:left style="thin">
        <x:color rgb="FF4C6382"/>
      </x:left>
      <x:right style="thin">
        <x:color rgb="FF4C6382"/>
      </x:right>
    </x:border>
    <x:border>
      <x:left style="thin">
        <x:color rgb="FF4C6382"/>
      </x:left>
    </x:border>
    <x:border>
      <x:right style="thin">
        <x:color rgb="FF4C6382"/>
      </x:right>
    </x:border>
    <x:border>
      <x:left style="thin">
        <x:color rgb="FF4C6382"/>
      </x:left>
      <x:right style="thin">
        <x:color rgb="FF4C6382"/>
      </x:right>
    </x:border>
    <x:border>
      <x:left style="thin">
        <x:color rgb="FF4C6382"/>
      </x:left>
    </x:border>
    <x:border>
      <x:left style="thin">
        <x:color rgb="FFC7D3E3"/>
      </x:left>
      <x:top style="thin">
        <x:color rgb="FFC7D3E3"/>
      </x:top>
    </x:border>
    <x:border>
      <x:right style="thin">
        <x:color rgb="FFC7D3E3"/>
      </x:right>
      <x:top style="thin">
        <x:color rgb="FFC7D3E3"/>
      </x:top>
    </x:border>
    <x:border>
      <x:left style="thin">
        <x:color rgb="FFC7D3E3"/>
      </x:left>
    </x:border>
    <x:border>
      <x:right style="thin">
        <x:color rgb="FFC7D3E3"/>
      </x:right>
    </x:border>
    <x:border>
      <x:left style="thin">
        <x:color rgb="FFC7D3E3"/>
      </x:left>
      <x:bottom style="thin">
        <x:color rgb="FFC7D3E3"/>
      </x:bottom>
    </x:border>
    <x:border>
      <x:right style="thin">
        <x:color rgb="FFC7D3E3"/>
      </x:right>
      <x:bottom style="thin">
        <x:color rgb="FFC7D3E3"/>
      </x:bottom>
    </x:border>
    <x:border>
      <x:left style="thin">
        <x:color rgb="FFC7D3E3"/>
      </x:left>
      <x:top style="thin">
        <x:color rgb="FFC7D3E3"/>
      </x:top>
    </x:border>
    <x:border>
      <x:right style="thin">
        <x:color rgb="FFC7D3E3"/>
      </x:right>
      <x:top style="thin">
        <x:color rgb="FFC7D3E3"/>
      </x:top>
    </x:border>
    <x:border>
      <x:left style="thin">
        <x:color rgb="FFC7D3E3"/>
      </x:left>
    </x:border>
    <x:border>
      <x:right style="thin">
        <x:color rgb="FFC7D3E3"/>
      </x:right>
    </x:border>
    <x:border>
      <x:left style="thin">
        <x:color rgb="FFC7D3E3"/>
      </x:left>
      <x:bottom style="thin">
        <x:color rgb="FFC7D3E3"/>
      </x:bottom>
    </x:border>
    <x:border>
      <x:right style="thin">
        <x:color rgb="FFC7D3E3"/>
      </x:right>
      <x:bottom style="thin">
        <x:color rgb="FFC7D3E3"/>
      </x:bottom>
    </x:border>
    <x:border>
      <x:left style="thin">
        <x:color rgb="FFC7D3E3"/>
      </x:left>
      <x:right style="thin">
        <x:color rgb="FFC7D3E3"/>
      </x:right>
      <x:bottom style="thin">
        <x:color rgb="FFC7D3E3"/>
      </x:bottom>
    </x:border>
    <x:border>
      <x:right style="thin">
        <x:color rgb="FFC7D3E3"/>
      </x:right>
      <x:top style="thin">
        <x:color rgb="FFC7D3E3"/>
      </x:top>
      <x:bottom style="thin">
        <x:color rgb="FFC7D3E3"/>
      </x:bottom>
    </x:border>
    <x:border>
      <x:left style="thin">
        <x:color rgb="FFC7D3E3"/>
      </x:left>
      <x:right style="thin">
        <x:color rgb="FFC7D3E3"/>
      </x:right>
      <x:top style="thin">
        <x:color rgb="FFC7D3E3"/>
      </x:top>
      <x:bottom style="thin">
        <x:color rgb="FFC7D3E3"/>
      </x:bottom>
    </x:border>
    <x:border>
      <x:left style="thin">
        <x:color rgb="FFC7D3E3"/>
      </x:left>
      <x:top style="thin">
        <x:color rgb="FFC7D3E3"/>
      </x:top>
      <x:bottom style="thin">
        <x:color rgb="FFC7D3E3"/>
      </x:bottom>
    </x:border>
    <x:border>
      <x:left style="thin">
        <x:color rgb="FFC7D3E3"/>
      </x:left>
      <x:right style="thin">
        <x:color rgb="FFC7D3E3"/>
      </x:right>
      <x:top style="thin">
        <x:color rgb="FFC7D3E3"/>
      </x:top>
    </x:border>
    <x:border>
      <x:left style="thin">
        <x:color rgb="FFC7D3E3"/>
      </x:left>
      <x:right style="thin">
        <x:color rgb="FFC7D3E3"/>
      </x:right>
      <x:bottom style="thin">
        <x:color rgb="FFC7D3E3"/>
      </x:bottom>
    </x:border>
    <x:border>
      <x:right style="thin">
        <x:color rgb="FFC7D3E3"/>
      </x:right>
      <x:top style="thin">
        <x:color rgb="FFC7D3E3"/>
      </x:top>
      <x:bottom style="thin">
        <x:color rgb="FFC7D3E3"/>
      </x:bottom>
    </x:border>
    <x:border>
      <x:left style="thin">
        <x:color rgb="FFC7D3E3"/>
      </x:left>
      <x:right style="thin">
        <x:color rgb="FFC7D3E3"/>
      </x:right>
      <x:top style="thin">
        <x:color rgb="FFC7D3E3"/>
      </x:top>
      <x:bottom style="thin">
        <x:color rgb="FFC7D3E3"/>
      </x:bottom>
    </x:border>
    <x:border>
      <x:left style="thin">
        <x:color rgb="FFC7D3E3"/>
      </x:left>
      <x:top style="thin">
        <x:color rgb="FFC7D3E3"/>
      </x:top>
      <x:bottom style="thin">
        <x:color rgb="FFC7D3E3"/>
      </x:bottom>
    </x:border>
    <x:border>
      <x:left style="thin">
        <x:color rgb="FFC7D3E3"/>
      </x:left>
      <x:right style="thin">
        <x:color rgb="FFC7D3E3"/>
      </x:right>
      <x:top style="thin">
        <x:color rgb="FFC7D3E3"/>
      </x:top>
    </x:border>
  </x:borders>
  <x:cellStyleXfs count="1">
    <x:xf numFmtId="0" fontId="0" fillId="0" borderId="0"/>
  </x:cellStyleXfs>
  <x:cellXfs count="19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vertical="center" wrapText="1"/>
    </x:xf>
    <x:xf numFmtId="0" fontId="1" fillId="2" borderId="6" xfId="0" applyNumberFormat="1" applyFont="1" applyFill="1" applyBorder="1" applyAlignment="1">
      <x:alignment vertical="center" wrapText="1"/>
    </x:xf>
    <x:xf numFmtId="0" fontId="1" fillId="2" borderId="7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2" fillId="2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6" xfId="0" applyNumberFormat="1" applyFont="1" applyFill="1" applyBorder="1" applyAlignment="1">
      <x:alignment vertical="top" wrapText="1"/>
    </x:xf>
    <x:xf numFmtId="0" fontId="2" fillId="2" borderId="7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0" fontId="0" fillId="0" borderId="19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4" xfId="0" applyNumberFormat="1" applyFont="1" applyFill="1" applyBorder="1"/>
    <x:xf numFmtId="0" fontId="0" fillId="4" borderId="15" xfId="0" applyNumberFormat="1" applyFont="1" applyFill="1" applyBorder="1"/>
    <x:xf numFmtId="0" fontId="6" fillId="4" borderId="8" xfId="0" applyNumberFormat="1" applyFont="1" applyFill="1" applyBorder="1"/>
    <x:xf numFmtId="0" fontId="6" fillId="4" borderId="9" xfId="0" applyNumberFormat="1" applyFont="1" applyFill="1" applyBorder="1"/>
    <x:xf numFmtId="0" fontId="6" fillId="4" borderId="14" xfId="0" applyNumberFormat="1" applyFont="1" applyFill="1" applyBorder="1"/>
    <x:xf numFmtId="0" fontId="6" fillId="4" borderId="15" xfId="0" applyNumberFormat="1" applyFont="1" applyFill="1" applyBorder="1"/>
    <x:xf numFmtId="0" fontId="0" fillId="5" borderId="10" xfId="0" applyNumberFormat="1" applyFont="1" applyFill="1" applyBorder="1"/>
    <x:xf numFmtId="0" fontId="0" fillId="5" borderId="12" xfId="0" applyNumberFormat="1" applyFont="1" applyFill="1" applyBorder="1"/>
    <x:xf numFmtId="0" fontId="0" fillId="5" borderId="16" xfId="0" applyNumberFormat="1" applyFont="1" applyFill="1" applyBorder="1"/>
    <x:xf numFmtId="0" fontId="0" fillId="5" borderId="18" xfId="0" applyNumberFormat="1" applyFont="1" applyFill="1" applyBorder="1"/>
    <x:xf numFmtId="0" fontId="7" fillId="5" borderId="10" xfId="0" applyNumberFormat="1" applyFont="1" applyFill="1" applyBorder="1"/>
    <x:xf numFmtId="0" fontId="7" fillId="5" borderId="12" xfId="0" applyNumberFormat="1" applyFont="1" applyFill="1" applyBorder="1"/>
    <x:xf numFmtId="0" fontId="7" fillId="5" borderId="16" xfId="0" applyNumberFormat="1" applyFont="1" applyFill="1" applyBorder="1"/>
    <x:xf numFmtId="0" fontId="7" fillId="5" borderId="18" xfId="0" applyNumberFormat="1" applyFont="1" applyFill="1" applyBorder="1"/>
    <x:xf numFmtId="0" fontId="0" fillId="6" borderId="11" xfId="0" applyNumberFormat="1" applyFont="1" applyFill="1" applyBorder="1"/>
    <x:xf numFmtId="200" fontId="0" fillId="6" borderId="13" xfId="0" applyNumberFormat="1" applyFont="1" applyFill="1" applyBorder="1"/>
    <x:xf numFmtId="0" fontId="0" fillId="6" borderId="17" xfId="0" applyNumberFormat="1" applyFont="1" applyFill="1" applyBorder="1"/>
    <x:xf numFmtId="200" fontId="0" fillId="6" borderId="19" xfId="0" applyNumberFormat="1" applyFont="1" applyFill="1" applyBorder="1"/>
    <x:xf numFmtId="0" fontId="8" fillId="6" borderId="11" xfId="0" applyNumberFormat="1" applyFont="1" applyFill="1" applyBorder="1"/>
    <x:xf numFmtId="200" fontId="8" fillId="6" borderId="13" xfId="0" applyNumberFormat="1" applyFont="1" applyFill="1" applyBorder="1"/>
    <x:xf numFmtId="0" fontId="8" fillId="6" borderId="17" xfId="0" applyNumberFormat="1" applyFont="1" applyFill="1" applyBorder="1"/>
    <x:xf numFmtId="200" fontId="8" fillId="6" borderId="19" xfId="0" applyNumberFormat="1" applyFont="1" applyFill="1" applyBorder="1"/>
    <x:xf numFmtId="0" fontId="8" fillId="6" borderId="11" xfId="0" applyNumberFormat="1" applyFont="1" applyFill="1" applyBorder="1" applyAlignment="1">
      <x:alignment horizontal="center"/>
    </x:xf>
    <x:xf numFmtId="200" fontId="8" fillId="6" borderId="13" xfId="0" applyNumberFormat="1" applyFont="1" applyFill="1" applyBorder="1" applyAlignment="1">
      <x:alignment horizontal="center"/>
    </x:xf>
    <x:xf numFmtId="0" fontId="8" fillId="6" borderId="17" xfId="0" applyNumberFormat="1" applyFont="1" applyFill="1" applyBorder="1" applyAlignment="1">
      <x:alignment horizontal="center"/>
    </x:xf>
    <x:xf numFmtId="200" fontId="8" fillId="6" borderId="19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19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24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26" xfId="0" applyNumberFormat="1" applyFont="1" applyFill="1" applyBorder="1" applyAlignment="1">
      <x:alignment vertical="center" wrapText="1"/>
    </x:xf>
    <x:xf numFmtId="0" fontId="0" fillId="0" borderId="27" xfId="0" applyNumberFormat="1" applyFont="1" applyFill="1" applyBorder="1" applyAlignment="1">
      <x:alignment vertical="center" wrapText="1"/>
    </x:xf>
    <x:xf numFmtId="0" fontId="0" fillId="0" borderId="28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29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2" borderId="13" xfId="0" applyNumberFormat="1" applyFont="1" applyFill="1" applyBorder="1" applyAlignment="1">
      <x:alignment vertical="center" wrapText="1"/>
    </x:xf>
    <x:xf numFmtId="0" fontId="0" fillId="2" borderId="20" xfId="0" applyNumberFormat="1" applyFont="1" applyFill="1" applyBorder="1" applyAlignment="1">
      <x:alignment vertical="center" wrapText="1"/>
    </x:xf>
    <x:xf numFmtId="0" fontId="0" fillId="2" borderId="12" xfId="0" applyNumberFormat="1" applyFont="1" applyFill="1" applyBorder="1" applyAlignment="1">
      <x:alignment vertical="center" wrapText="1"/>
    </x:xf>
    <x:xf numFmtId="0" fontId="0" fillId="2" borderId="19" xfId="0" applyNumberFormat="1" applyFont="1" applyFill="1" applyBorder="1" applyAlignment="1">
      <x:alignment vertical="center" wrapText="1"/>
    </x:xf>
    <x:xf numFmtId="0" fontId="0" fillId="2" borderId="25" xfId="0" applyNumberFormat="1" applyFont="1" applyFill="1" applyBorder="1" applyAlignment="1">
      <x:alignment vertical="center" wrapText="1"/>
    </x:xf>
    <x:xf numFmtId="0" fontId="0" fillId="2" borderId="18" xfId="0" applyNumberFormat="1" applyFont="1" applyFill="1" applyBorder="1" applyAlignment="1">
      <x:alignment vertical="center" wrapText="1"/>
    </x:xf>
    <x:xf numFmtId="0" fontId="6" fillId="2" borderId="13" xfId="0" applyNumberFormat="1" applyFont="1" applyFill="1" applyBorder="1" applyAlignment="1">
      <x:alignment vertical="center"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12" xfId="0" applyNumberFormat="1" applyFont="1" applyFill="1" applyBorder="1" applyAlignment="1">
      <x:alignment vertical="center" wrapText="1"/>
    </x:xf>
    <x:xf numFmtId="0" fontId="6" fillId="2" borderId="19" xfId="0" applyNumberFormat="1" applyFont="1" applyFill="1" applyBorder="1" applyAlignment="1">
      <x:alignment vertical="center" wrapText="1"/>
    </x:xf>
    <x:xf numFmtId="0" fontId="6" fillId="2" borderId="25" xfId="0" applyNumberFormat="1" applyFont="1" applyFill="1" applyBorder="1" applyAlignment="1">
      <x:alignment vertical="center" wrapText="1"/>
    </x:xf>
    <x:xf numFmtId="0" fontId="6" fillId="2" borderId="18" xfId="0" applyNumberFormat="1" applyFont="1" applyFill="1" applyBorder="1" applyAlignment="1">
      <x:alignment vertical="center" wrapText="1"/>
    </x:xf>
    <x:xf numFmtId="0" fontId="0" fillId="7" borderId="21" xfId="0" applyNumberFormat="1" applyFont="1" applyFill="1" applyBorder="1" applyAlignment="1">
      <x:alignment vertical="center" wrapText="1"/>
    </x:xf>
    <x:xf numFmtId="0" fontId="0" fillId="7" borderId="22" xfId="0" applyNumberFormat="1" applyFont="1" applyFill="1" applyBorder="1" applyAlignment="1">
      <x:alignment vertical="center" wrapText="1"/>
    </x:xf>
    <x:xf numFmtId="0" fontId="0" fillId="7" borderId="23" xfId="0" applyNumberFormat="1" applyFont="1" applyFill="1" applyBorder="1" applyAlignment="1">
      <x:alignment vertical="center" wrapText="1"/>
    </x:xf>
    <x:xf numFmtId="0" fontId="0" fillId="7" borderId="9" xfId="0" applyNumberFormat="1" applyFont="1" applyFill="1" applyBorder="1" applyAlignment="1">
      <x:alignment vertical="center" wrapText="1"/>
    </x:xf>
    <x:xf numFmtId="0" fontId="0" fillId="7" borderId="24" xfId="0" applyNumberFormat="1" applyFont="1" applyFill="1" applyBorder="1" applyAlignment="1">
      <x:alignment vertical="center" wrapText="1"/>
    </x:xf>
    <x:xf numFmtId="0" fontId="0" fillId="7" borderId="8" xfId="0" applyNumberFormat="1" applyFont="1" applyFill="1" applyBorder="1" applyAlignment="1">
      <x:alignment vertical="center" wrapText="1"/>
    </x:xf>
    <x:xf numFmtId="0" fontId="0" fillId="7" borderId="26" xfId="0" applyNumberFormat="1" applyFont="1" applyFill="1" applyBorder="1" applyAlignment="1">
      <x:alignment vertical="center" wrapText="1"/>
    </x:xf>
    <x:xf numFmtId="0" fontId="0" fillId="7" borderId="27" xfId="0" applyNumberFormat="1" applyFont="1" applyFill="1" applyBorder="1" applyAlignment="1">
      <x:alignment vertical="center" wrapText="1"/>
    </x:xf>
    <x:xf numFmtId="0" fontId="0" fillId="7" borderId="28" xfId="0" applyNumberFormat="1" applyFont="1" applyFill="1" applyBorder="1" applyAlignment="1">
      <x:alignment vertical="center" wrapText="1"/>
    </x:xf>
    <x:xf numFmtId="0" fontId="0" fillId="7" borderId="15" xfId="0" applyNumberFormat="1" applyFont="1" applyFill="1" applyBorder="1" applyAlignment="1">
      <x:alignment vertical="center" wrapText="1"/>
    </x:xf>
    <x:xf numFmtId="0" fontId="0" fillId="7" borderId="29" xfId="0" applyNumberFormat="1" applyFont="1" applyFill="1" applyBorder="1" applyAlignment="1">
      <x:alignment vertical="center" wrapText="1"/>
    </x:xf>
    <x:xf numFmtId="0" fontId="0" fillId="7" borderId="14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9" fillId="8" borderId="0" xfId="0" applyNumberFormat="1" applyFont="1" applyFill="1" applyBorder="1"/>
    <x:xf numFmtId="0" fontId="9" fillId="8" borderId="1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1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vertical="center" wrapText="1"/>
    </x:xf>
    <x:xf numFmtId="0" fontId="9" fillId="8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2" xfId="0" applyNumberFormat="1" applyFont="1" applyFill="1" applyBorder="1" applyAlignment="1">
      <x:alignment vertical="center" wrapText="1"/>
    </x:xf>
    <x:xf numFmtId="0" fontId="1" fillId="2" borderId="27" xfId="0" applyNumberFormat="1" applyFont="1" applyFill="1" applyBorder="1" applyAlignment="1">
      <x:alignment vertical="center" wrapText="1"/>
    </x:xf>
    <x:xf numFmtId="0" fontId="1" fillId="2" borderId="22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1" fillId="2" borderId="27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0B665C"/>
      </x:font>
      <x:fill>
        <x:patternFill patternType="solid">
          <x:bgColor rgb="FFDDF6EC"/>
        </x:patternFill>
      </x:fill>
    </x:dxf>
    <x:dxf>
      <x:font>
        <x:b/>
        <x:color rgb="FF0B665C"/>
      </x:font>
      <x:fill>
        <x:patternFill patternType="solid">
          <x:bgColor rgb="FFDDF6EC"/>
        </x:patternFill>
      </x:fill>
    </x:dxf>
    <x:dxf>
      <x:font>
        <x:b/>
        <x:color rgb="FF0B665C"/>
      </x:font>
      <x:fill>
        <x:patternFill patternType="solid">
          <x:bgColor rgb="FFDDF6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510635b46c43ad" /><Relationship Type="http://schemas.openxmlformats.org/officeDocument/2006/relationships/theme" Target="/xl/theme/theme1.xml" Id="Rb13404aa497541e0" /><Relationship Type="http://schemas.openxmlformats.org/officeDocument/2006/relationships/sharedStrings" Target="/xl/sharedStrings.xml" Id="Rf34461c3384c4f88" /><Relationship Type="http://schemas.openxmlformats.org/officeDocument/2006/relationships/worksheet" Target="/xl/worksheets/sheet1.xml" Id="Ref300bc408cb4df3" /><Relationship Type="http://schemas.openxmlformats.org/officeDocument/2006/relationships/worksheet" Target="/xl/worksheets/sheet2.xml" Id="R4eacfab14b8c4809" /><Relationship Type="http://schemas.openxmlformats.org/officeDocument/2006/relationships/worksheet" Target="/xl/worksheets/sheet3.xml" Id="Rd5e76df7df7e4973" /><Relationship Type="http://schemas.openxmlformats.org/officeDocument/2006/relationships/worksheet" Target="/xl/worksheets/sheet4.xml" Id="R020f194ab37d4192" /><Relationship Type="http://schemas.openxmlformats.org/officeDocument/2006/relationships/worksheet" Target="/xl/worksheets/sheet5.xml" Id="R9da1671b6f5245d2" /><Relationship Type="http://schemas.openxmlformats.org/officeDocument/2006/relationships/worksheet" Target="/xl/worksheets/sheet6.xml" Id="Rc4568ce469af4645" /></Relationships>
</file>

<file path=xl/tables/table1.xml><?xml version="1.0" encoding="utf-8"?>
<x:table xmlns:x="http://schemas.openxmlformats.org/spreadsheetml/2006/main" id="1" name="SourcesTable" displayName="SourcesTable" ref="A1:N4" headerRowCount="1" totalsRowCount="0" totalsRowShown="0">
  <x:tableColumns count="14">
    <x:tableColumn id="1" name="source_id"/>
    <x:tableColumn id="2" name="title"/>
    <x:tableColumn id="3" name="authors"/>
    <x:tableColumn id="4" name="first_author"/>
    <x:tableColumn id="5" name="year"/>
    <x:tableColumn id="6" name="venue"/>
    <x:tableColumn id="7" name="doi"/>
    <x:tableColumn id="8" name="source_file"/>
    <x:tableColumn id="9" name="document_type"/>
    <x:tableColumn id="10" name="research_domain"/>
    <x:tableColumn id="11" name="language"/>
    <x:tableColumn id="12" name="scope_or_abstract"/>
    <x:tableColumn id="13" name="record_status"/>
    <x:tableColumn id="1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udiesTable" displayName="StudiesTable" ref="A1:R4" headerRowCount="1" totalsRowCount="0" totalsRowShown="0">
  <x:tableColumns count="18">
    <x:tableColumn id="1" name="study_id"/>
    <x:tableColumn id="2" name="source_id"/>
    <x:tableColumn id="3" name="study_label"/>
    <x:tableColumn id="4" name="study_design"/>
    <x:tableColumn id="5" name="objective_or_question"/>
    <x:tableColumn id="6" name="setting"/>
    <x:tableColumn id="7" name="population_or_material"/>
    <x:tableColumn id="8" name="intervention_exposure_or_input"/>
    <x:tableColumn id="9" name="comparator_or_context"/>
    <x:tableColumn id="10" name="outcomes_or_themes"/>
    <x:tableColumn id="11" name="data_source"/>
    <x:tableColumn id="12" name="timeframe"/>
    <x:tableColumn id="13" name="unit_of_analysis"/>
    <x:tableColumn id="14" name="sample_or_corpus_size"/>
    <x:tableColumn id="15" name="analysis_method"/>
    <x:tableColumn id="16" name="key_finding"/>
    <x:tableColumn id="17" name="limitations"/>
    <x:tableColumn id="18" name="study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laimsTable" displayName="ClaimsTable" ref="A1:P9" headerRowCount="1" totalsRowCount="0" totalsRowShown="0">
  <x:tableColumns count="16">
    <x:tableColumn id="1" name="claim_id"/>
    <x:tableColumn id="2" name="source_id"/>
    <x:tableColumn id="3" name="study_id"/>
    <x:tableColumn id="4" name="claim_nature"/>
    <x:tableColumn id="5" name="claim_text"/>
    <x:tableColumn id="6" name="value_original"/>
    <x:tableColumn id="7" name="value_normalized"/>
    <x:tableColumn id="8" name="unit_original"/>
    <x:tableColumn id="9" name="comparison_context"/>
    <x:tableColumn id="10" name="section"/>
    <x:tableColumn id="11" name="table_or_figure"/>
    <x:tableColumn id="12" name="pdf_page"/>
    <x:tableColumn id="13" name="locator_phrase"/>
    <x:tableColumn id="14" name="verification_status"/>
    <x:tableColumn id="15" name="extraction_method"/>
    <x:tableColumn id="16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ppraisalsTable" displayName="AppraisalsTable" ref="A1:K6" headerRowCount="1" totalsRowCount="0" totalsRowShown="0">
  <x:tableColumns count="11">
    <x:tableColumn id="1" name="appraisal_id"/>
    <x:tableColumn id="2" name="source_id"/>
    <x:tableColumn id="3" name="study_id"/>
    <x:tableColumn id="4" name="tool_or_framework"/>
    <x:tableColumn id="5" name="domain"/>
    <x:tableColumn id="6" name="judgment"/>
    <x:tableColumn id="7" name="supporting_reason"/>
    <x:tableColumn id="8" name="pdf_page"/>
    <x:tableColumn id="9" name="locator_phrase"/>
    <x:tableColumn id="10" name="appraisal_status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b146e4068345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d310c93c47942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2a8ef68c55141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9e2d61a027e47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8" hidden="0" customWidth="1"/>
    <x:col min="3" max="3" width="20" hidden="0" customWidth="1"/>
    <x:col min="4" max="4" width="20" hidden="0" customWidth="1"/>
    <x:col min="5" max="5" width="9" hidden="0" customWidth="1"/>
    <x:col min="6" max="6" width="24" hidden="0" customWidth="1"/>
    <x:col min="7" max="7" width="24" hidden="0" customWidth="1"/>
    <x:col min="8" max="8" width="24" hidden="0" customWidth="1"/>
    <x:col min="9" max="9" width="20" hidden="0" customWidth="1"/>
    <x:col min="10" max="10" width="20" hidden="0" customWidth="1"/>
    <x:col min="11" max="11" width="12" hidden="0" customWidth="1"/>
    <x:col min="12" max="12" width="38" hidden="0" customWidth="1"/>
    <x:col min="13" max="13" width="14" hidden="0" customWidth="1"/>
    <x:col min="14" max="14" width="28" hidden="0" customWidth="1"/>
  </x:cols>
  <x:sheetData>
    <x:row r="1" ht="36" customHeight="1">
      <x:c r="A1" s="32" t="str">
        <x:v>source_id</x:v>
      </x:c>
      <x:c r="B1" s="33" t="str">
        <x:v>title</x:v>
      </x:c>
      <x:c r="C1" s="33" t="str">
        <x:v>authors</x:v>
      </x:c>
      <x:c r="D1" s="33" t="str">
        <x:v>first_author</x:v>
      </x:c>
      <x:c r="E1" s="33" t="str">
        <x:v>year</x:v>
      </x:c>
      <x:c r="F1" s="33" t="str">
        <x:v>venue</x:v>
      </x:c>
      <x:c r="G1" s="33" t="str">
        <x:v>doi</x:v>
      </x:c>
      <x:c r="H1" s="33" t="str">
        <x:v>source_file</x:v>
      </x:c>
      <x:c r="I1" s="33" t="str">
        <x:v>document_type</x:v>
      </x:c>
      <x:c r="J1" s="33" t="str">
        <x:v>research_domain</x:v>
      </x:c>
      <x:c r="K1" s="33" t="str">
        <x:v>language</x:v>
      </x:c>
      <x:c r="L1" s="33" t="str">
        <x:v>scope_or_abstract</x:v>
      </x:c>
      <x:c r="M1" s="33" t="str">
        <x:v>record_status</x:v>
      </x:c>
      <x:c r="N1" s="34" t="str">
        <x:v>notes</x:v>
      </x:c>
    </x:row>
    <x:row r="2">
      <x:c r="A2" s="40" t="str">
        <x:v>S0001</x:v>
      </x:c>
      <x:c r="B2" s="40" t="str">
        <x:v>Synthetic Blue-Light Exposure and Short-Term Recall</x:v>
      </x:c>
      <x:c r="C2" s="40" t="str">
        <x:v>Example Research Group</x:v>
      </x:c>
      <x:c r="D2" s="40" t="str">
        <x:v>Example</x:v>
      </x:c>
      <x:c r="E2" s="40" t="str">
        <x:v>2026</x:v>
      </x:c>
      <x:c r="F2" s="40" t="str">
        <x:v>Synthetic Demonstration Paper</x:v>
      </x:c>
      <x:c r="G2" s="40" t="str"/>
      <x:c r="H2" s="40" t="str">
        <x:v>synthetic_pdfs/S0001_experiment.pdf</x:v>
      </x:c>
      <x:c r="I2" s="40" t="str">
        <x:v>original research</x:v>
      </x:c>
      <x:c r="J2" s="40" t="str">
        <x:v>cognitive science</x:v>
      </x:c>
      <x:c r="K2" s="40" t="str">
        <x:v>English</x:v>
      </x:c>
      <x:c r="L2" s="40" t="str">
        <x:v>A synthetic controlled experiment created to demonstrate page-level quantitative verification.</x:v>
      </x:c>
      <x:c r="M2" s="40" t="str">
        <x:v>verified</x:v>
      </x:c>
      <x:c r="N2" s="40" t="str">
        <x:v>Not a real study; CC0 demonstration document.</x:v>
      </x:c>
    </x:row>
    <x:row r="3">
      <x:c r="A3" s="40" t="str">
        <x:v>S0002</x:v>
      </x:c>
      <x:c r="B3" s="40" t="str">
        <x:v>Synthetic Interviews on Auditable AI-Assisted Reading</x:v>
      </x:c>
      <x:c r="C3" s="40" t="str">
        <x:v>Example Research Group</x:v>
      </x:c>
      <x:c r="D3" s="40" t="str">
        <x:v>Example</x:v>
      </x:c>
      <x:c r="E3" s="40" t="str">
        <x:v>2026</x:v>
      </x:c>
      <x:c r="F3" s="40" t="str">
        <x:v>Synthetic Demonstration Paper</x:v>
      </x:c>
      <x:c r="G3" s="40" t="str"/>
      <x:c r="H3" s="40" t="str">
        <x:v>synthetic_pdfs/S0002_qualitative.pdf</x:v>
      </x:c>
      <x:c r="I3" s="40" t="str">
        <x:v>original research</x:v>
      </x:c>
      <x:c r="J3" s="40" t="str">
        <x:v>research methods</x:v>
      </x:c>
      <x:c r="K3" s="40" t="str">
        <x:v>English</x:v>
      </x:c>
      <x:c r="L3" s="40" t="str">
        <x:v>A synthetic qualitative study created to demonstrate theme and interpretation verification.</x:v>
      </x:c>
      <x:c r="M3" s="40" t="str">
        <x:v>verified</x:v>
      </x:c>
      <x:c r="N3" s="40" t="str">
        <x:v>Not a real study; CC0 demonstration document.</x:v>
      </x:c>
    </x:row>
    <x:row r="4">
      <x:c r="A4" s="40" t="str">
        <x:v>S0003</x:v>
      </x:c>
      <x:c r="B4" s="40" t="str">
        <x:v>Synthetic Benchmarking of Document Classifiers Under Domain Shift</x:v>
      </x:c>
      <x:c r="C4" s="40" t="str">
        <x:v>Example Research Group</x:v>
      </x:c>
      <x:c r="D4" s="40" t="str">
        <x:v>Example</x:v>
      </x:c>
      <x:c r="E4" s="40" t="str">
        <x:v>2026</x:v>
      </x:c>
      <x:c r="F4" s="40" t="str">
        <x:v>Synthetic Demonstration Paper</x:v>
      </x:c>
      <x:c r="G4" s="40" t="str"/>
      <x:c r="H4" s="40" t="str">
        <x:v>synthetic_pdfs/S0003_benchmark.pdf</x:v>
      </x:c>
      <x:c r="I4" s="40" t="str">
        <x:v>original research</x:v>
      </x:c>
      <x:c r="J4" s="40" t="str">
        <x:v>machine learning</x:v>
      </x:c>
      <x:c r="K4" s="40" t="str">
        <x:v>English</x:v>
      </x:c>
      <x:c r="L4" s="40" t="str">
        <x:v>A synthetic benchmark created to demonstrate model-performance and leakage verification.</x:v>
      </x:c>
      <x:c r="M4" s="40" t="str">
        <x:v>verified</x:v>
      </x:c>
      <x:c r="N4" s="40" t="str">
        <x:v>Not a real study; CC0 demonstration document.</x:v>
      </x:c>
    </x:row>
  </x:sheetData>
  <x:pageMargins left="0.7" right="0.7" top="0.75" bottom="0.75" header="0.3" footer="0.3"/>
  <x:tableParts count="1">
    <x:tablePart xmlns:r="http://schemas.openxmlformats.org/officeDocument/2006/relationships" r:id="Rbcb146e40683451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22" hidden="0" customWidth="1"/>
    <x:col min="5" max="5" width="36" hidden="0" customWidth="1"/>
    <x:col min="6" max="6" width="2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24" hidden="0" customWidth="1"/>
    <x:col min="12" max="12" width="18" hidden="0" customWidth="1"/>
    <x:col min="13" max="13" width="18" hidden="0" customWidth="1"/>
    <x:col min="14" max="14" width="30" hidden="0" customWidth="1"/>
    <x:col min="15" max="15" width="36" hidden="0" customWidth="1"/>
    <x:col min="16" max="16" width="36" hidden="0" customWidth="1"/>
    <x:col min="17" max="17" width="36" hidden="0" customWidth="1"/>
    <x:col min="18" max="18" width="14" hidden="0" customWidth="1"/>
  </x:cols>
  <x:sheetData>
    <x:row r="1" ht="36" customHeight="1">
      <x:c r="A1" s="32" t="str">
        <x:v>study_id</x:v>
      </x:c>
      <x:c r="B1" s="33" t="str">
        <x:v>source_id</x:v>
      </x:c>
      <x:c r="C1" s="33" t="str">
        <x:v>study_label</x:v>
      </x:c>
      <x:c r="D1" s="33" t="str">
        <x:v>study_design</x:v>
      </x:c>
      <x:c r="E1" s="33" t="str">
        <x:v>objective_or_question</x:v>
      </x:c>
      <x:c r="F1" s="33" t="str">
        <x:v>setting</x:v>
      </x:c>
      <x:c r="G1" s="33" t="str">
        <x:v>population_or_material</x:v>
      </x:c>
      <x:c r="H1" s="33" t="str">
        <x:v>intervention_exposure_or_input</x:v>
      </x:c>
      <x:c r="I1" s="33" t="str">
        <x:v>comparator_or_context</x:v>
      </x:c>
      <x:c r="J1" s="33" t="str">
        <x:v>outcomes_or_themes</x:v>
      </x:c>
      <x:c r="K1" s="33" t="str">
        <x:v>data_source</x:v>
      </x:c>
      <x:c r="L1" s="33" t="str">
        <x:v>timeframe</x:v>
      </x:c>
      <x:c r="M1" s="33" t="str">
        <x:v>unit_of_analysis</x:v>
      </x:c>
      <x:c r="N1" s="33" t="str">
        <x:v>sample_or_corpus_size</x:v>
      </x:c>
      <x:c r="O1" s="33" t="str">
        <x:v>analysis_method</x:v>
      </x:c>
      <x:c r="P1" s="33" t="str">
        <x:v>key_finding</x:v>
      </x:c>
      <x:c r="Q1" s="33" t="str">
        <x:v>limitations</x:v>
      </x:c>
      <x:c r="R1" s="34" t="str">
        <x:v>study_status</x:v>
      </x:c>
    </x:row>
    <x:row r="2">
      <x:c r="A2" s="40" t="str">
        <x:v>ST0001</x:v>
      </x:c>
      <x:c r="B2" s="40" t="str">
        <x:v>S0001</x:v>
      </x:c>
      <x:c r="C2" s="40" t="str">
        <x:v>Experiment 1</x:v>
      </x:c>
      <x:c r="D2" s="40" t="str">
        <x:v>controlled experiment</x:v>
      </x:c>
      <x:c r="E2" s="40" t="str">
        <x:v>Test whether pre-task blue-light duration changes immediate recall</x:v>
      </x:c>
      <x:c r="F2" s="40" t="str">
        <x:v>simulated laboratory</x:v>
      </x:c>
      <x:c r="G2" s="40" t="str">
        <x:v>72 synthetic adult participants</x:v>
      </x:c>
      <x:c r="H2" s="40" t="str">
        <x:v>0 30 or 60 minutes of blue-light exposure</x:v>
      </x:c>
      <x:c r="I2" s="40" t="str">
        <x:v>three randomized exposure groups</x:v>
      </x:c>
      <x:c r="J2" s="40" t="str">
        <x:v>immediate recall score</x:v>
      </x:c>
      <x:c r="K2" s="40" t="str">
        <x:v>synthetic participant records</x:v>
      </x:c>
      <x:c r="L2" s="40" t="str">
        <x:v>single session</x:v>
      </x:c>
      <x:c r="M2" s="40" t="str">
        <x:v>participant</x:v>
      </x:c>
      <x:c r="N2" s="40" t="str">
        <x:v>24 participants per group; 72 total</x:v>
      </x:c>
      <x:c r="O2" s="40" t="str">
        <x:v>one-way ANOVA with planned contrasts</x:v>
      </x:c>
      <x:c r="P2" s="40" t="str">
        <x:v>Recall scores decreased across longer exposure conditions</x:v>
      </x:c>
      <x:c r="Q2" s="40" t="str">
        <x:v>Single-session simulated task with no delayed outcome</x:v>
      </x:c>
      <x:c r="R2" s="40" t="str">
        <x:v>verified</x:v>
      </x:c>
    </x:row>
    <x:row r="3">
      <x:c r="A3" s="40" t="str">
        <x:v>ST0002</x:v>
      </x:c>
      <x:c r="B3" s="40" t="str">
        <x:v>S0002</x:v>
      </x:c>
      <x:c r="C3" s="40" t="str">
        <x:v>Interview study</x:v>
      </x:c>
      <x:c r="D3" s="40" t="str">
        <x:v>qualitative study</x:v>
      </x:c>
      <x:c r="E3" s="40" t="str">
        <x:v>Explore how researchers describe trustworthy AI-assisted reading</x:v>
      </x:c>
      <x:c r="F3" s="40" t="str">
        <x:v>remote interviews</x:v>
      </x:c>
      <x:c r="G3" s="40" t="str">
        <x:v>12 synthetic early-career researchers</x:v>
      </x:c>
      <x:c r="H3" s="40" t="str">
        <x:v>AI-assisted literature reading experience</x:v>
      </x:c>
      <x:c r="I3" s="40" t="str">
        <x:v>disciplinary and experience context</x:v>
      </x:c>
      <x:c r="J3" s="40" t="str">
        <x:v>auditability themes and concerns</x:v>
      </x:c>
      <x:c r="K3" s="40" t="str">
        <x:v>synthetic interview transcripts</x:v>
      </x:c>
      <x:c r="L3" s="40" t="str">
        <x:v>one interview per participant</x:v>
      </x:c>
      <x:c r="M3" s="40" t="str">
        <x:v>participant</x:v>
      </x:c>
      <x:c r="N3" s="40" t="str">
        <x:v>12 interviews</x:v>
      </x:c>
      <x:c r="O3" s="40" t="str">
        <x:v>reflexive thematic analysis</x:v>
      </x:c>
      <x:c r="P3" s="40" t="str">
        <x:v>Page-linked audit trails were described as the main condition for trust</x:v>
      </x:c>
      <x:c r="Q3" s="40" t="str">
        <x:v>Small synthetic convenience sample and no observational triangulation</x:v>
      </x:c>
      <x:c r="R3" s="40" t="str">
        <x:v>verified</x:v>
      </x:c>
    </x:row>
    <x:row r="4">
      <x:c r="A4" s="40" t="str">
        <x:v>ST0003</x:v>
      </x:c>
      <x:c r="B4" s="40" t="str">
        <x:v>S0003</x:v>
      </x:c>
      <x:c r="C4" s="40" t="str">
        <x:v>Benchmark study</x:v>
      </x:c>
      <x:c r="D4" s="40" t="str">
        <x:v>computational benchmark</x:v>
      </x:c>
      <x:c r="E4" s="40" t="str">
        <x:v>Measure document-classifier performance under domain shift</x:v>
      </x:c>
      <x:c r="F4" s="40" t="str">
        <x:v>offline benchmark</x:v>
      </x:c>
      <x:c r="G4" s="40" t="str">
        <x:v>2400 synthetic labeled abstracts</x:v>
      </x:c>
      <x:c r="H4" s="40" t="str">
        <x:v>TF-IDF linear baseline and transformer classifier</x:v>
      </x:c>
      <x:c r="I4" s="40" t="str">
        <x:v>in-domain and held-out domain splits</x:v>
      </x:c>
      <x:c r="J4" s="40" t="str">
        <x:v>macro-F1 and leakage sensitivity</x:v>
      </x:c>
      <x:c r="K4" s="40" t="str">
        <x:v>synthetic abstract corpus</x:v>
      </x:c>
      <x:c r="L4" s="40" t="str">
        <x:v>one benchmark run with five fixed seeds</x:v>
      </x:c>
      <x:c r="M4" s="40" t="str">
        <x:v>document</x:v>
      </x:c>
      <x:c r="N4" s="40" t="str">
        <x:v>2400 documents across four domains</x:v>
      </x:c>
      <x:c r="O4" s="40" t="str">
        <x:v>macro-F1 with five-seed mean</x:v>
      </x:c>
      <x:c r="P4" s="40" t="str">
        <x:v>Performance declined under held-out domain evaluation and random splitting inflated results</x:v>
      </x:c>
      <x:c r="Q4" s="40" t="str">
        <x:v>Synthetic corpus and limited domain diversity</x:v>
      </x:c>
      <x:c r="R4" s="40" t="str">
        <x:v>verified</x:v>
      </x:c>
    </x:row>
  </x:sheetData>
  <x:pageMargins left="0.7" right="0.7" top="0.75" bottom="0.75" header="0.3" footer="0.3"/>
  <x:tableParts count="1">
    <x:tablePart xmlns:r="http://schemas.openxmlformats.org/officeDocument/2006/relationships" r:id="R1d310c93c479427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20" hidden="0" customWidth="1"/>
    <x:col min="5" max="5" width="48" hidden="0" customWidth="1"/>
    <x:col min="6" max="6" width="20" hidden="0" customWidth="1"/>
    <x:col min="7" max="7" width="20" hidden="0" customWidth="1"/>
    <x:col min="8" max="8" width="20" hidden="0" customWidth="1"/>
    <x:col min="9" max="9" width="34" hidden="0" customWidth="1"/>
    <x:col min="10" max="10" width="18" hidden="0" customWidth="1"/>
    <x:col min="11" max="11" width="18" hidden="0" customWidth="1"/>
    <x:col min="12" max="12" width="10" hidden="0" customWidth="1"/>
    <x:col min="13" max="13" width="28" hidden="0" customWidth="1"/>
    <x:col min="14" max="14" width="17" hidden="0" customWidth="1"/>
    <x:col min="15" max="15" width="17" hidden="0" customWidth="1"/>
    <x:col min="16" max="16" width="25" hidden="0" customWidth="1"/>
  </x:cols>
  <x:sheetData>
    <x:row r="1" ht="36" customHeight="1">
      <x:c r="A1" s="32" t="str">
        <x:v>claim_id</x:v>
      </x:c>
      <x:c r="B1" s="33" t="str">
        <x:v>source_id</x:v>
      </x:c>
      <x:c r="C1" s="33" t="str">
        <x:v>study_id</x:v>
      </x:c>
      <x:c r="D1" s="33" t="str">
        <x:v>claim_nature</x:v>
      </x:c>
      <x:c r="E1" s="33" t="str">
        <x:v>claim_text</x:v>
      </x:c>
      <x:c r="F1" s="33" t="str">
        <x:v>value_original</x:v>
      </x:c>
      <x:c r="G1" s="33" t="str">
        <x:v>value_normalized</x:v>
      </x:c>
      <x:c r="H1" s="33" t="str">
        <x:v>unit_original</x:v>
      </x:c>
      <x:c r="I1" s="33" t="str">
        <x:v>comparison_context</x:v>
      </x:c>
      <x:c r="J1" s="33" t="str">
        <x:v>section</x:v>
      </x:c>
      <x:c r="K1" s="33" t="str">
        <x:v>table_or_figure</x:v>
      </x:c>
      <x:c r="L1" s="33" t="str">
        <x:v>pdf_page</x:v>
      </x:c>
      <x:c r="M1" s="33" t="str">
        <x:v>locator_phrase</x:v>
      </x:c>
      <x:c r="N1" s="33" t="str">
        <x:v>verification_status</x:v>
      </x:c>
      <x:c r="O1" s="33" t="str">
        <x:v>extraction_method</x:v>
      </x:c>
      <x:c r="P1" s="34" t="str">
        <x:v>notes</x:v>
      </x:c>
    </x:row>
    <x:row r="2">
      <x:c r="A2" s="40" t="str">
        <x:v>C000001</x:v>
      </x:c>
      <x:c r="B2" s="40" t="str">
        <x:v>S0001</x:v>
      </x:c>
      <x:c r="C2" s="40" t="str">
        <x:v>ST0001</x:v>
      </x:c>
      <x:c r="D2" s="40" t="str">
        <x:v>quantitative_result</x:v>
      </x:c>
      <x:c r="E2" s="40" t="str">
        <x:v>Immediate recall means were 8.1 7.4 and 6.8 items for the 0 30 and 60 minute groups respectively</x:v>
      </x:c>
      <x:c r="F2" s="40" t="str">
        <x:v>8.1; 7.4; 6.8</x:v>
      </x:c>
      <x:c r="G2" s="40" t="str"/>
      <x:c r="H2" s="40" t="str">
        <x:v>items</x:v>
      </x:c>
      <x:c r="I2" s="40" t="str">
        <x:v>0 vs 30 vs 60 minutes</x:v>
      </x:c>
      <x:c r="J2" s="40" t="str">
        <x:v>Results</x:v>
      </x:c>
      <x:c r="K2" s="40" t="str">
        <x:v>Table 1</x:v>
      </x:c>
      <x:c r="L2" s="40" t="str">
        <x:v>2</x:v>
      </x:c>
      <x:c r="M2" s="40" t="str">
        <x:v>Immediate recall means were</x:v>
      </x:c>
      <x:c r="N2" s="40" t="str">
        <x:v>verified</x:v>
      </x:c>
      <x:c r="O2" s="40" t="str">
        <x:v>manual</x:v>
      </x:c>
      <x:c r="P2" s="40" t="str">
        <x:v>Synthetic values.</x:v>
      </x:c>
    </x:row>
    <x:row r="3">
      <x:c r="A3" s="40" t="str">
        <x:v>C000002</x:v>
      </x:c>
      <x:c r="B3" s="40" t="str">
        <x:v>S0001</x:v>
      </x:c>
      <x:c r="C3" s="40" t="str">
        <x:v>ST0001</x:v>
      </x:c>
      <x:c r="D3" s="40" t="str">
        <x:v>statistical_result</x:v>
      </x:c>
      <x:c r="E3" s="40" t="str">
        <x:v>The omnibus group comparison was statistically significant</x:v>
      </x:c>
      <x:c r="F3" s="40" t="str">
        <x:v>F(2,69)=5.84; p=0.004</x:v>
      </x:c>
      <x:c r="G3" s="40" t="str"/>
      <x:c r="H3" s="40" t="str"/>
      <x:c r="I3" s="40" t="str">
        <x:v>three-group one-way ANOVA</x:v>
      </x:c>
      <x:c r="J3" s="40" t="str">
        <x:v>Results</x:v>
      </x:c>
      <x:c r="K3" s="40" t="str">
        <x:v>Table 1</x:v>
      </x:c>
      <x:c r="L3" s="40" t="str">
        <x:v>2</x:v>
      </x:c>
      <x:c r="M3" s="40" t="str">
        <x:v>The omnibus group comparison</x:v>
      </x:c>
      <x:c r="N3" s="40" t="str">
        <x:v>verified</x:v>
      </x:c>
      <x:c r="O3" s="40" t="str">
        <x:v>manual</x:v>
      </x:c>
      <x:c r="P3" s="40" t="str">
        <x:v>Synthetic result.</x:v>
      </x:c>
    </x:row>
    <x:row r="4">
      <x:c r="A4" s="40" t="str">
        <x:v>C000003</x:v>
      </x:c>
      <x:c r="B4" s="40" t="str">
        <x:v>S0001</x:v>
      </x:c>
      <x:c r="C4" s="40" t="str">
        <x:v>ST0001</x:v>
      </x:c>
      <x:c r="D4" s="40" t="str">
        <x:v>limitation</x:v>
      </x:c>
      <x:c r="E4" s="40" t="str">
        <x:v>The single-session laboratory task does not establish a persistent cognitive effect</x:v>
      </x:c>
      <x:c r="F4" s="40" t="str"/>
      <x:c r="G4" s="40" t="str"/>
      <x:c r="H4" s="40" t="str"/>
      <x:c r="I4" s="40" t="str">
        <x:v>scope of inference</x:v>
      </x:c>
      <x:c r="J4" s="40" t="str">
        <x:v>Limitations</x:v>
      </x:c>
      <x:c r="K4" s="40" t="str"/>
      <x:c r="L4" s="40" t="str">
        <x:v>3</x:v>
      </x:c>
      <x:c r="M4" s="40" t="str">
        <x:v>single-session laboratory task</x:v>
      </x:c>
      <x:c r="N4" s="40" t="str">
        <x:v>verified</x:v>
      </x:c>
      <x:c r="O4" s="40" t="str">
        <x:v>manual</x:v>
      </x:c>
      <x:c r="P4" s="40" t="str">
        <x:v>Synthetic limitation.</x:v>
      </x:c>
    </x:row>
    <x:row r="5">
      <x:c r="A5" s="40" t="str">
        <x:v>C000004</x:v>
      </x:c>
      <x:c r="B5" s="40" t="str">
        <x:v>S0002</x:v>
      </x:c>
      <x:c r="C5" s="40" t="str">
        <x:v>ST0002</x:v>
      </x:c>
      <x:c r="D5" s="40" t="str">
        <x:v>quantitative_result</x:v>
      </x:c>
      <x:c r="E5" s="40" t="str">
        <x:v>Twelve synthetic early-career researchers completed interviews</x:v>
      </x:c>
      <x:c r="F5" s="40" t="str">
        <x:v>12</x:v>
      </x:c>
      <x:c r="G5" s="40" t="str"/>
      <x:c r="H5" s="40" t="str">
        <x:v>participants</x:v>
      </x:c>
      <x:c r="I5" s="40" t="str">
        <x:v>full qualitative sample</x:v>
      </x:c>
      <x:c r="J5" s="40" t="str">
        <x:v>Methods</x:v>
      </x:c>
      <x:c r="K5" s="40" t="str"/>
      <x:c r="L5" s="40" t="str">
        <x:v>1</x:v>
      </x:c>
      <x:c r="M5" s="40" t="str">
        <x:v>Twelve synthetic early-career researchers</x:v>
      </x:c>
      <x:c r="N5" s="40" t="str">
        <x:v>verified</x:v>
      </x:c>
      <x:c r="O5" s="40" t="str">
        <x:v>manual</x:v>
      </x:c>
      <x:c r="P5" s="40" t="str">
        <x:v>Synthetic sample.</x:v>
      </x:c>
    </x:row>
    <x:row r="6">
      <x:c r="A6" s="40" t="str">
        <x:v>C000005</x:v>
      </x:c>
      <x:c r="B6" s="40" t="str">
        <x:v>S0002</x:v>
      </x:c>
      <x:c r="C6" s="40" t="str">
        <x:v>ST0002</x:v>
      </x:c>
      <x:c r="D6" s="40" t="str">
        <x:v>qualitative_finding</x:v>
      </x:c>
      <x:c r="E6" s="40" t="str">
        <x:v>Participants described page-linked audit trails as the main condition for trusting AI-generated summaries</x:v>
      </x:c>
      <x:c r="F6" s="40" t="str"/>
      <x:c r="G6" s="40" t="str"/>
      <x:c r="H6" s="40" t="str"/>
      <x:c r="I6" s="40" t="str">
        <x:v>theme across synthetic interviews</x:v>
      </x:c>
      <x:c r="J6" s="40" t="str">
        <x:v>Findings</x:v>
      </x:c>
      <x:c r="K6" s="40" t="str">
        <x:v>Theme 1</x:v>
      </x:c>
      <x:c r="L6" s="40" t="str">
        <x:v>2</x:v>
      </x:c>
      <x:c r="M6" s="40" t="str">
        <x:v>page-linked audit trails</x:v>
      </x:c>
      <x:c r="N6" s="40" t="str">
        <x:v>verified</x:v>
      </x:c>
      <x:c r="O6" s="40" t="str">
        <x:v>manual</x:v>
      </x:c>
      <x:c r="P6" s="40" t="str">
        <x:v>Synthetic theme.</x:v>
      </x:c>
    </x:row>
    <x:row r="7">
      <x:c r="A7" s="40" t="str">
        <x:v>C000006</x:v>
      </x:c>
      <x:c r="B7" s="40" t="str">
        <x:v>S0003</x:v>
      </x:c>
      <x:c r="C7" s="40" t="str">
        <x:v>ST0003</x:v>
      </x:c>
      <x:c r="D7" s="40" t="str">
        <x:v>model_performance</x:v>
      </x:c>
      <x:c r="E7" s="40" t="str">
        <x:v>Transformer macro-F1 was 0.86 in-domain and 0.71 on the held-out domain</x:v>
      </x:c>
      <x:c r="F7" s="40" t="str">
        <x:v>0.86; 0.71</x:v>
      </x:c>
      <x:c r="G7" s="40" t="str"/>
      <x:c r="H7" s="40" t="str">
        <x:v>macro-F1</x:v>
      </x:c>
      <x:c r="I7" s="40" t="str">
        <x:v>in-domain vs held-out domain</x:v>
      </x:c>
      <x:c r="J7" s="40" t="str">
        <x:v>Results</x:v>
      </x:c>
      <x:c r="K7" s="40" t="str">
        <x:v>Table 1</x:v>
      </x:c>
      <x:c r="L7" s="40" t="str">
        <x:v>2</x:v>
      </x:c>
      <x:c r="M7" s="40" t="str">
        <x:v>Transformer macro-F1</x:v>
      </x:c>
      <x:c r="N7" s="40" t="str">
        <x:v>verified</x:v>
      </x:c>
      <x:c r="O7" s="40" t="str">
        <x:v>manual</x:v>
      </x:c>
      <x:c r="P7" s="40" t="str">
        <x:v>Synthetic benchmark.</x:v>
      </x:c>
    </x:row>
    <x:row r="8">
      <x:c r="A8" s="40" t="str">
        <x:v>C000007</x:v>
      </x:c>
      <x:c r="B8" s="40" t="str">
        <x:v>S0003</x:v>
      </x:c>
      <x:c r="C8" s="40" t="str">
        <x:v>ST0003</x:v>
      </x:c>
      <x:c r="D8" s="40" t="str">
        <x:v>model_performance</x:v>
      </x:c>
      <x:c r="E8" s="40" t="str">
        <x:v>A random document split inflated transformer macro-F1 by 0.06 compared with the grouped domain-aware split</x:v>
      </x:c>
      <x:c r="F8" s="40" t="str">
        <x:v>0.06</x:v>
      </x:c>
      <x:c r="G8" s="40" t="str"/>
      <x:c r="H8" s="40" t="str">
        <x:v>macro-F1</x:v>
      </x:c>
      <x:c r="I8" s="40" t="str">
        <x:v>random split minus grouped split</x:v>
      </x:c>
      <x:c r="J8" s="40" t="str">
        <x:v>Results</x:v>
      </x:c>
      <x:c r="K8" s="40" t="str">
        <x:v>Leakage check</x:v>
      </x:c>
      <x:c r="L8" s="40" t="str">
        <x:v>2</x:v>
      </x:c>
      <x:c r="M8" s="40" t="str">
        <x:v>inflated transformer macro-F1</x:v>
      </x:c>
      <x:c r="N8" s="40" t="str">
        <x:v>verified</x:v>
      </x:c>
      <x:c r="O8" s="40" t="str">
        <x:v>manual</x:v>
      </x:c>
      <x:c r="P8" s="40" t="str">
        <x:v>Synthetic leakage check.</x:v>
      </x:c>
    </x:row>
    <x:row r="9">
      <x:c r="A9" s="40" t="str">
        <x:v>C000008</x:v>
      </x:c>
      <x:c r="B9" s="40" t="str">
        <x:v>S0003</x:v>
      </x:c>
      <x:c r="C9" s="40" t="str">
        <x:v>ST0003</x:v>
      </x:c>
      <x:c r="D9" s="40" t="str">
        <x:v>limitation</x:v>
      </x:c>
      <x:c r="E9" s="40" t="str">
        <x:v>The synthetic corpus and limited domain diversity restrict external validity</x:v>
      </x:c>
      <x:c r="F9" s="40" t="str"/>
      <x:c r="G9" s="40" t="str"/>
      <x:c r="H9" s="40" t="str"/>
      <x:c r="I9" s="40" t="str">
        <x:v>scope of generalization</x:v>
      </x:c>
      <x:c r="J9" s="40" t="str">
        <x:v>Limitations</x:v>
      </x:c>
      <x:c r="K9" s="40" t="str"/>
      <x:c r="L9" s="40" t="str">
        <x:v>3</x:v>
      </x:c>
      <x:c r="M9" s="40" t="str">
        <x:v>limited domain diversity</x:v>
      </x:c>
      <x:c r="N9" s="40" t="str">
        <x:v>verified</x:v>
      </x:c>
      <x:c r="O9" s="40" t="str">
        <x:v>manual</x:v>
      </x:c>
      <x:c r="P9" s="40" t="str">
        <x:v>Synthetic limitation.</x:v>
      </x:c>
    </x:row>
  </x:sheetData>
  <x:conditionalFormatting sqref="N2:N9">
    <x:cfRule type="containsText" dxfId="0" priority="1" operator="containsText" text="verified"/>
  </x:conditionalFormatting>
  <x:pageMargins left="0.7" right="0.7" top="0.75" bottom="0.75" header="0.3" footer="0.3"/>
  <x:tableParts count="1">
    <x:tablePart xmlns:r="http://schemas.openxmlformats.org/officeDocument/2006/relationships" r:id="Rc2a8ef68c551416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30" hidden="0" customWidth="1"/>
    <x:col min="5" max="5" width="22" hidden="0" customWidth="1"/>
    <x:col min="6" max="6" width="22" hidden="0" customWidth="1"/>
    <x:col min="7" max="7" width="48" hidden="0" customWidth="1"/>
    <x:col min="8" max="8" width="10" hidden="0" customWidth="1"/>
    <x:col min="9" max="9" width="28" hidden="0" customWidth="1"/>
    <x:col min="10" max="10" width="18" hidden="0" customWidth="1"/>
    <x:col min="11" max="11" width="24" hidden="0" customWidth="1"/>
  </x:cols>
  <x:sheetData>
    <x:row r="1" ht="36" customHeight="1">
      <x:c r="A1" s="32" t="str">
        <x:v>appraisal_id</x:v>
      </x:c>
      <x:c r="B1" s="33" t="str">
        <x:v>source_id</x:v>
      </x:c>
      <x:c r="C1" s="33" t="str">
        <x:v>study_id</x:v>
      </x:c>
      <x:c r="D1" s="33" t="str">
        <x:v>tool_or_framework</x:v>
      </x:c>
      <x:c r="E1" s="33" t="str">
        <x:v>domain</x:v>
      </x:c>
      <x:c r="F1" s="33" t="str">
        <x:v>judgment</x:v>
      </x:c>
      <x:c r="G1" s="33" t="str">
        <x:v>supporting_reason</x:v>
      </x:c>
      <x:c r="H1" s="33" t="str">
        <x:v>pdf_page</x:v>
      </x:c>
      <x:c r="I1" s="33" t="str">
        <x:v>locator_phrase</x:v>
      </x:c>
      <x:c r="J1" s="33" t="str">
        <x:v>appraisal_status</x:v>
      </x:c>
      <x:c r="K1" s="34" t="str">
        <x:v>notes</x:v>
      </x:c>
    </x:row>
    <x:row r="2">
      <x:c r="A2" s="40" t="str">
        <x:v>A0001</x:v>
      </x:c>
      <x:c r="B2" s="40" t="str">
        <x:v>S0001</x:v>
      </x:c>
      <x:c r="C2" s="40" t="str">
        <x:v>ST0001</x:v>
      </x:c>
      <x:c r="D2" s="40" t="str">
        <x:v>custom demonstration framework</x:v>
      </x:c>
      <x:c r="E2" s="40" t="str">
        <x:v>allocation</x:v>
      </x:c>
      <x:c r="F2" s="40" t="str">
        <x:v>low concern</x:v>
      </x:c>
      <x:c r="G2" s="40" t="str">
        <x:v>A seeded random allocation sequence assigned 24 participants to each group</x:v>
      </x:c>
      <x:c r="H2" s="40" t="str">
        <x:v>1</x:v>
      </x:c>
      <x:c r="I2" s="40" t="str">
        <x:v>seeded random allocation</x:v>
      </x:c>
      <x:c r="J2" s="40" t="str">
        <x:v>complete</x:v>
      </x:c>
      <x:c r="K2" s="40" t="str">
        <x:v>Synthetic appraisal.</x:v>
      </x:c>
    </x:row>
    <x:row r="3">
      <x:c r="A3" s="40" t="str">
        <x:v>A0002</x:v>
      </x:c>
      <x:c r="B3" s="40" t="str">
        <x:v>S0001</x:v>
      </x:c>
      <x:c r="C3" s="40" t="str">
        <x:v>ST0001</x:v>
      </x:c>
      <x:c r="D3" s="40" t="str">
        <x:v>custom demonstration framework</x:v>
      </x:c>
      <x:c r="E3" s="40" t="str">
        <x:v>external validity</x:v>
      </x:c>
      <x:c r="F3" s="40" t="str">
        <x:v>some concerns</x:v>
      </x:c>
      <x:c r="G3" s="40" t="str">
        <x:v>The paper reports a single-session simulated laboratory task</x:v>
      </x:c>
      <x:c r="H3" s="40" t="str">
        <x:v>3</x:v>
      </x:c>
      <x:c r="I3" s="40" t="str">
        <x:v>single-session simulated</x:v>
      </x:c>
      <x:c r="J3" s="40" t="str">
        <x:v>complete</x:v>
      </x:c>
      <x:c r="K3" s="40" t="str">
        <x:v>Synthetic appraisal.</x:v>
      </x:c>
    </x:row>
    <x:row r="4">
      <x:c r="A4" s="40" t="str">
        <x:v>A0003</x:v>
      </x:c>
      <x:c r="B4" s="40" t="str">
        <x:v>S0002</x:v>
      </x:c>
      <x:c r="C4" s="40" t="str">
        <x:v>ST0002</x:v>
      </x:c>
      <x:c r="D4" s="40" t="str">
        <x:v>custom demonstration framework</x:v>
      </x:c>
      <x:c r="E4" s="40" t="str">
        <x:v>reflexivity</x:v>
      </x:c>
      <x:c r="F4" s="40" t="str">
        <x:v>some concerns</x:v>
      </x:c>
      <x:c r="G4" s="40" t="str">
        <x:v>The analysts acknowledge that they designed both the interview guide and coding framework</x:v>
      </x:c>
      <x:c r="H4" s="40" t="str">
        <x:v>3</x:v>
      </x:c>
      <x:c r="I4" s="40" t="str">
        <x:v>designed both the interview guide</x:v>
      </x:c>
      <x:c r="J4" s="40" t="str">
        <x:v>complete</x:v>
      </x:c>
      <x:c r="K4" s="40" t="str">
        <x:v>Synthetic appraisal.</x:v>
      </x:c>
    </x:row>
    <x:row r="5">
      <x:c r="A5" s="40" t="str">
        <x:v>A0004</x:v>
      </x:c>
      <x:c r="B5" s="40" t="str">
        <x:v>S0003</x:v>
      </x:c>
      <x:c r="C5" s="40" t="str">
        <x:v>ST0003</x:v>
      </x:c>
      <x:c r="D5" s="40" t="str">
        <x:v>custom demonstration framework</x:v>
      </x:c>
      <x:c r="E5" s="40" t="str">
        <x:v>data leakage</x:v>
      </x:c>
      <x:c r="F5" s="40" t="str">
        <x:v>low concern</x:v>
      </x:c>
      <x:c r="G5" s="40" t="str">
        <x:v>The primary split held out one complete domain before model fitting</x:v>
      </x:c>
      <x:c r="H5" s="40" t="str">
        <x:v>1</x:v>
      </x:c>
      <x:c r="I5" s="40" t="str">
        <x:v>held out one complete domain</x:v>
      </x:c>
      <x:c r="J5" s="40" t="str">
        <x:v>complete</x:v>
      </x:c>
      <x:c r="K5" s="40" t="str">
        <x:v>Synthetic appraisal.</x:v>
      </x:c>
    </x:row>
    <x:row r="6">
      <x:c r="A6" s="40" t="str">
        <x:v>A0005</x:v>
      </x:c>
      <x:c r="B6" s="40" t="str">
        <x:v>S0003</x:v>
      </x:c>
      <x:c r="C6" s="40" t="str">
        <x:v>ST0003</x:v>
      </x:c>
      <x:c r="D6" s="40" t="str">
        <x:v>custom demonstration framework</x:v>
      </x:c>
      <x:c r="E6" s="40" t="str">
        <x:v>external validation</x:v>
      </x:c>
      <x:c r="F6" s="40" t="str">
        <x:v>some concerns</x:v>
      </x:c>
      <x:c r="G6" s="40" t="str">
        <x:v>Only one synthetic held-out domain was evaluated</x:v>
      </x:c>
      <x:c r="H6" s="40" t="str">
        <x:v>3</x:v>
      </x:c>
      <x:c r="I6" s="40" t="str">
        <x:v>one synthetic held-out domain</x:v>
      </x:c>
      <x:c r="J6" s="40" t="str">
        <x:v>complete</x:v>
      </x:c>
      <x:c r="K6" s="40" t="str">
        <x:v>Synthetic appraisal.</x:v>
      </x:c>
    </x:row>
  </x:sheetData>
  <x:conditionalFormatting sqref="J2:J6">
    <x:cfRule type="containsText" dxfId="1" priority="1" operator="containsText" text="complete"/>
  </x:conditionalFormatting>
  <x:pageMargins left="0.7" right="0.7" top="0.75" bottom="0.75" header="0.3" footer="0.3"/>
  <x:tableParts count="1">
    <x:tablePart xmlns:r="http://schemas.openxmlformats.org/officeDocument/2006/relationships" r:id="R09e2d61a027e478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4" max="4" width="18" hidden="0" customWidth="1"/>
    <x:col min="5" max="5" width="10" hidden="0" customWidth="1"/>
    <x:col min="6" max="6" width="28" hidden="0" customWidth="1"/>
    <x:col min="7" max="7" width="15" hidden="0" customWidth="1"/>
    <x:col min="8" max="8" width="22" hidden="0" customWidth="1"/>
  </x:cols>
  <x:sheetData>
    <x:row r="1">
      <x:c r="A1" s="46" t="str">
        <x:v>Literature Evidence Synthesis - Synthetic Demo</x:v>
      </x:c>
      <x:c r="B1" s="46"/>
      <x:c r="C1" s="46"/>
      <x:c r="D1" s="46"/>
      <x:c r="E1" s="46"/>
      <x:c r="F1" s="46"/>
      <x:c r="G1" s="46"/>
      <x:c r="H1" s="46"/>
    </x:row>
    <x:row r="2">
      <x:c r="A2" s="46"/>
      <x:c r="B2" s="46"/>
      <x:c r="C2" s="46"/>
      <x:c r="D2" s="46"/>
      <x:c r="E2" s="46"/>
      <x:c r="F2" s="46"/>
      <x:c r="G2" s="46"/>
      <x:c r="H2" s="46"/>
    </x:row>
    <x:row r="3" ht="38" customHeight="1">
      <x:c r="A3" s="54" t="str">
        <x:v>Three fictional papers demonstrate page-level verification across experimental, qualitative, and computational research.</x:v>
      </x:c>
      <x:c r="B3" s="54"/>
      <x:c r="C3" s="54"/>
      <x:c r="D3" s="54"/>
      <x:c r="E3" s="54"/>
      <x:c r="F3" s="54"/>
      <x:c r="G3" s="54"/>
      <x:c r="H3" s="54"/>
    </x:row>
    <x:row r="5">
      <x:c r="A5" s="74" t="str">
        <x:v>Metric</x:v>
      </x:c>
      <x:c r="B5" s="75" t="str">
        <x:v>Value</x:v>
      </x:c>
      <x:c r="D5" s="102" t="str">
        <x:v>Four-layer evidence model</x:v>
      </x:c>
      <x:c r="E5" s="102"/>
      <x:c r="F5" s="102"/>
      <x:c r="G5" s="102"/>
      <x:c r="H5" s="102"/>
    </x:row>
    <x:row r="6">
      <x:c r="A6" s="82" t="str">
        <x:v>Sources</x:v>
      </x:c>
      <x:c r="B6" s="94" t="n">
        <x:f>COUNTA('Sources'!A2:A1000)</x:f>
        <x:v>3</x:v>
      </x:c>
      <x:c r="D6" s="158" t="str">
        <x:v>Layer</x:v>
      </x:c>
      <x:c r="E6" s="159" t="str">
        <x:v>Rows</x:v>
      </x:c>
      <x:c r="F6" s="159" t="str">
        <x:v>Purpose</x:v>
      </x:c>
      <x:c r="G6" s="159" t="str">
        <x:v>Status</x:v>
      </x:c>
      <x:c r="H6" s="160" t="str">
        <x:v>Audit rule</x:v>
      </x:c>
    </x:row>
    <x:row r="7">
      <x:c r="A7" s="82" t="str">
        <x:v>Study units</x:v>
      </x:c>
      <x:c r="B7" s="94" t="n">
        <x:f>COUNTA('Studies'!A2:A1000)</x:f>
        <x:v>3</x:v>
      </x:c>
      <x:c r="D7" s="164" t="str">
        <x:v>Sources</x:v>
      </x:c>
      <x:c r="E7" s="165" t="n">
        <x:v>3</x:v>
      </x:c>
      <x:c r="F7" s="165" t="str">
        <x:v>Bibliographic identity</x:v>
      </x:c>
      <x:c r="G7" s="165" t="str">
        <x:v>Complete</x:v>
      </x:c>
      <x:c r="H7" s="166" t="str">
        <x:v>Readable PDF</x:v>
      </x:c>
    </x:row>
    <x:row r="8">
      <x:c r="A8" s="82" t="str">
        <x:v>Claims</x:v>
      </x:c>
      <x:c r="B8" s="94" t="n">
        <x:f>COUNTA('Claims'!A2:A1000)</x:f>
        <x:v>8</x:v>
      </x:c>
      <x:c r="D8" s="164" t="str">
        <x:v>Studies</x:v>
      </x:c>
      <x:c r="E8" s="165" t="n">
        <x:v>3</x:v>
      </x:c>
      <x:c r="F8" s="165" t="str">
        <x:v>Design and analysis units</x:v>
      </x:c>
      <x:c r="G8" s="165" t="str">
        <x:v>Complete</x:v>
      </x:c>
      <x:c r="H8" s="166" t="str">
        <x:v>Correct unit</x:v>
      </x:c>
    </x:row>
    <x:row r="9">
      <x:c r="A9" s="82" t="str">
        <x:v>Verified claims</x:v>
      </x:c>
      <x:c r="B9" s="94" t="n">
        <x:f>COUNTIF('Claims'!N2:N1000,"verified")</x:f>
        <x:v>8</x:v>
      </x:c>
      <x:c r="D9" s="164" t="str">
        <x:v>Claims</x:v>
      </x:c>
      <x:c r="E9" s="165" t="n">
        <x:v>8</x:v>
      </x:c>
      <x:c r="F9" s="165" t="str">
        <x:v>Substantive assertions</x:v>
      </x:c>
      <x:c r="G9" s="165" t="str">
        <x:v>Verified</x:v>
      </x:c>
      <x:c r="H9" s="166" t="str">
        <x:v>Page + locator</x:v>
      </x:c>
    </x:row>
    <x:row r="10">
      <x:c r="A10" s="83" t="str">
        <x:v>Verification coverage</x:v>
      </x:c>
      <x:c r="B10" s="95" t="n">
        <x:f>IF(B8=0,0,B9/B8)</x:f>
        <x:v>1</x:v>
      </x:c>
      <x:c r="D10" s="167" t="str">
        <x:v>Appraisals</x:v>
      </x:c>
      <x:c r="E10" s="168" t="n">
        <x:v>5</x:v>
      </x:c>
      <x:c r="F10" s="168" t="str">
        <x:v>Design-aware judgments</x:v>
      </x:c>
      <x:c r="G10" s="168" t="str">
        <x:v>Complete</x:v>
      </x:c>
      <x:c r="H10" s="169" t="str">
        <x:v>Reason + source</x:v>
      </x:c>
    </x:row>
    <x:row r="12" ht="34" customHeight="1">
      <x:c r="A12" s="182" t="str">
        <x:v>Demonstration only: every paper, participant, value, quote, and result in this workbook is fictional.</x:v>
      </x:c>
      <x:c r="B12" s="182"/>
      <x:c r="C12" s="182"/>
      <x:c r="D12" s="182"/>
      <x:c r="E12" s="182"/>
      <x:c r="F12" s="182"/>
      <x:c r="G12" s="182"/>
      <x:c r="H12" s="182"/>
    </x:row>
  </x:sheetData>
  <x:mergeCells>
    <x:mergeCell ref="A1:H2"/>
    <x:mergeCell ref="A3:H3"/>
    <x:mergeCell ref="D5:H5"/>
    <x:mergeCell ref="A12:H1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58" hidden="0" customWidth="1"/>
    <x:col min="4" max="4" width="12" hidden="0" customWidth="1"/>
    <x:col min="5" max="5" width="31" hidden="0" customWidth="1"/>
    <x:col min="6" max="6" width="15" hidden="0" customWidth="1"/>
  </x:cols>
  <x:sheetData>
    <x:row r="1">
      <x:c r="A1" s="190" t="str">
        <x:v>Claim ID</x:v>
      </x:c>
      <x:c r="B1" s="190" t="str">
        <x:v>Nature</x:v>
      </x:c>
      <x:c r="C1" s="190" t="str">
        <x:v>Verified claim</x:v>
      </x:c>
      <x:c r="D1" s="190" t="str">
        <x:v>PDF page</x:v>
      </x:c>
      <x:c r="E1" s="190" t="str">
        <x:v>Locator phrase</x:v>
      </x:c>
      <x:c r="F1" s="190" t="str">
        <x:v>Status</x:v>
      </x:c>
    </x:row>
    <x:row r="2">
      <x:c r="A2" s="191" t="str">
        <x:f>'Claims'!A2</x:f>
        <x:v>C000001</x:v>
      </x:c>
      <x:c r="B2" s="191" t="str">
        <x:f>'Claims'!D2</x:f>
        <x:v>quantitative_result</x:v>
      </x:c>
      <x:c r="C2" s="191" t="str">
        <x:f>'Claims'!E2</x:f>
        <x:v>Immediate recall means were 8.1 7.4 and 6.8 items for the 0 30 and 60 minute groups respectively</x:v>
      </x:c>
      <x:c r="D2" s="191" t="str">
        <x:f>'Claims'!L2</x:f>
        <x:v>2</x:v>
      </x:c>
      <x:c r="E2" s="191" t="str">
        <x:f>'Claims'!M2</x:f>
        <x:v>Immediate recall means were</x:v>
      </x:c>
      <x:c r="F2" s="191" t="str">
        <x:f>'Claims'!N2</x:f>
        <x:v>verified</x:v>
      </x:c>
    </x:row>
    <x:row r="3">
      <x:c r="A3" s="191" t="str">
        <x:f>'Claims'!A3</x:f>
        <x:v>C000002</x:v>
      </x:c>
      <x:c r="B3" s="191" t="str">
        <x:f>'Claims'!D3</x:f>
        <x:v>statistical_result</x:v>
      </x:c>
      <x:c r="C3" s="191" t="str">
        <x:f>'Claims'!E3</x:f>
        <x:v>The omnibus group comparison was statistically significant</x:v>
      </x:c>
      <x:c r="D3" s="191" t="str">
        <x:f>'Claims'!L3</x:f>
        <x:v>2</x:v>
      </x:c>
      <x:c r="E3" s="191" t="str">
        <x:f>'Claims'!M3</x:f>
        <x:v>The omnibus group comparison</x:v>
      </x:c>
      <x:c r="F3" s="191" t="str">
        <x:f>'Claims'!N3</x:f>
        <x:v>verified</x:v>
      </x:c>
    </x:row>
    <x:row r="4">
      <x:c r="A4" s="191" t="str">
        <x:f>'Claims'!A4</x:f>
        <x:v>C000003</x:v>
      </x:c>
      <x:c r="B4" s="191" t="str">
        <x:f>'Claims'!D4</x:f>
        <x:v>limitation</x:v>
      </x:c>
      <x:c r="C4" s="191" t="str">
        <x:f>'Claims'!E4</x:f>
        <x:v>The single-session laboratory task does not establish a persistent cognitive effect</x:v>
      </x:c>
      <x:c r="D4" s="191" t="str">
        <x:f>'Claims'!L4</x:f>
        <x:v>3</x:v>
      </x:c>
      <x:c r="E4" s="191" t="str">
        <x:f>'Claims'!M4</x:f>
        <x:v>single-session laboratory task</x:v>
      </x:c>
      <x:c r="F4" s="191" t="str">
        <x:f>'Claims'!N4</x:f>
        <x:v>verified</x:v>
      </x:c>
    </x:row>
    <x:row r="5">
      <x:c r="A5" s="191" t="str">
        <x:f>'Claims'!A5</x:f>
        <x:v>C000004</x:v>
      </x:c>
      <x:c r="B5" s="191" t="str">
        <x:f>'Claims'!D5</x:f>
        <x:v>quantitative_result</x:v>
      </x:c>
      <x:c r="C5" s="191" t="str">
        <x:f>'Claims'!E5</x:f>
        <x:v>Twelve synthetic early-career researchers completed interviews</x:v>
      </x:c>
      <x:c r="D5" s="191" t="str">
        <x:f>'Claims'!L5</x:f>
        <x:v>1</x:v>
      </x:c>
      <x:c r="E5" s="191" t="str">
        <x:f>'Claims'!M5</x:f>
        <x:v>Twelve synthetic early-career researchers</x:v>
      </x:c>
      <x:c r="F5" s="191" t="str">
        <x:f>'Claims'!N5</x:f>
        <x:v>verified</x:v>
      </x:c>
    </x:row>
    <x:row r="6">
      <x:c r="A6" s="191" t="str">
        <x:f>'Claims'!A6</x:f>
        <x:v>C000005</x:v>
      </x:c>
      <x:c r="B6" s="191" t="str">
        <x:f>'Claims'!D6</x:f>
        <x:v>qualitative_finding</x:v>
      </x:c>
      <x:c r="C6" s="191" t="str">
        <x:f>'Claims'!E6</x:f>
        <x:v>Participants described page-linked audit trails as the main condition for trusting AI-generated summaries</x:v>
      </x:c>
      <x:c r="D6" s="191" t="str">
        <x:f>'Claims'!L6</x:f>
        <x:v>2</x:v>
      </x:c>
      <x:c r="E6" s="191" t="str">
        <x:f>'Claims'!M6</x:f>
        <x:v>page-linked audit trails</x:v>
      </x:c>
      <x:c r="F6" s="191" t="str">
        <x:f>'Claims'!N6</x:f>
        <x:v>verified</x:v>
      </x:c>
    </x:row>
    <x:row r="7">
      <x:c r="A7" s="191" t="str">
        <x:f>'Claims'!A7</x:f>
        <x:v>C000006</x:v>
      </x:c>
      <x:c r="B7" s="191" t="str">
        <x:f>'Claims'!D7</x:f>
        <x:v>model_performance</x:v>
      </x:c>
      <x:c r="C7" s="191" t="str">
        <x:f>'Claims'!E7</x:f>
        <x:v>Transformer macro-F1 was 0.86 in-domain and 0.71 on the held-out domain</x:v>
      </x:c>
      <x:c r="D7" s="191" t="str">
        <x:f>'Claims'!L7</x:f>
        <x:v>2</x:v>
      </x:c>
      <x:c r="E7" s="191" t="str">
        <x:f>'Claims'!M7</x:f>
        <x:v>Transformer macro-F1</x:v>
      </x:c>
      <x:c r="F7" s="191" t="str">
        <x:f>'Claims'!N7</x:f>
        <x:v>verified</x:v>
      </x:c>
    </x:row>
    <x:row r="8">
      <x:c r="A8" s="191" t="str">
        <x:f>'Claims'!A8</x:f>
        <x:v>C000007</x:v>
      </x:c>
      <x:c r="B8" s="191" t="str">
        <x:f>'Claims'!D8</x:f>
        <x:v>model_performance</x:v>
      </x:c>
      <x:c r="C8" s="191" t="str">
        <x:f>'Claims'!E8</x:f>
        <x:v>A random document split inflated transformer macro-F1 by 0.06 compared with the grouped domain-aware split</x:v>
      </x:c>
      <x:c r="D8" s="191" t="str">
        <x:f>'Claims'!L8</x:f>
        <x:v>2</x:v>
      </x:c>
      <x:c r="E8" s="191" t="str">
        <x:f>'Claims'!M8</x:f>
        <x:v>inflated transformer macro-F1</x:v>
      </x:c>
      <x:c r="F8" s="191" t="str">
        <x:f>'Claims'!N8</x:f>
        <x:v>verified</x:v>
      </x:c>
    </x:row>
    <x:row r="9">
      <x:c r="A9" s="191" t="str">
        <x:f>'Claims'!A9</x:f>
        <x:v>C000008</x:v>
      </x:c>
      <x:c r="B9" s="191" t="str">
        <x:f>'Claims'!D9</x:f>
        <x:v>limitation</x:v>
      </x:c>
      <x:c r="C9" s="191" t="str">
        <x:f>'Claims'!E9</x:f>
        <x:v>The synthetic corpus and limited domain diversity restrict external validity</x:v>
      </x:c>
      <x:c r="D9" s="191" t="str">
        <x:f>'Claims'!L9</x:f>
        <x:v>3</x:v>
      </x:c>
      <x:c r="E9" s="191" t="str">
        <x:f>'Claims'!M9</x:f>
        <x:v>limited domain diversity</x:v>
      </x:c>
      <x:c r="F9" s="191" t="str">
        <x:f>'Claims'!N9</x:f>
        <x:v>verified</x:v>
      </x:c>
    </x:row>
  </x:sheetData>
  <x:conditionalFormatting sqref="F2:F9">
    <x:cfRule type="containsText" dxfId="2" priority="1" operator="containsText" text="verified"/>
  </x:conditionalFormatting>
  <x:pageMargins left="0.7" right="0.7" top="0.75" bottom="0.75" header="0.3" footer="0.3"/>
</x:worksheet>
</file>